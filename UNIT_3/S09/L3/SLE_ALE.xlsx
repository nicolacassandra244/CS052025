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<sst xmlns="http://schemas.openxmlformats.org/spreadsheetml/2006/main" count="35" uniqueCount="17">
  <si>
    <t>Asset</t>
  </si>
  <si>
    <t>Valore</t>
  </si>
  <si>
    <t>Evento</t>
  </si>
  <si>
    <t>ARO</t>
  </si>
  <si>
    <t>ARO percentuale</t>
  </si>
  <si>
    <t>Edificio Primario</t>
  </si>
  <si>
    <t>Terremoto</t>
  </si>
  <si>
    <t>1/30 anni</t>
  </si>
  <si>
    <t>Edificio Secondario</t>
  </si>
  <si>
    <t>Incendio</t>
  </si>
  <si>
    <t>1/20 anni</t>
  </si>
  <si>
    <t>DataCenter</t>
  </si>
  <si>
    <t>Inondazione</t>
  </si>
  <si>
    <t>1/50 anni</t>
  </si>
  <si>
    <t>Exposure Factor</t>
  </si>
  <si>
    <t>SLE</t>
  </si>
  <si>
    <t>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</si>
</sst>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7">
    <font>
      <sz val="10.0"/>
      <color rgb="FF000000"/>
      <name val="Arial"/>
      <scheme val="minor"/>
    </font>
    <font>
      <b/>
      <color rgb="FFFF0000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  <font>
      <b/>
      <color rgb="FF999999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3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1" t="s">
        <v>1</v>
      </c>
      <c r="D3" s="2"/>
      <c r="H3" s="1" t="s">
        <v>2</v>
      </c>
      <c r="I3" s="2"/>
      <c r="J3" s="1" t="s">
        <v>3</v>
      </c>
      <c r="K3" s="2"/>
      <c r="L3" s="1" t="s">
        <v>4</v>
      </c>
      <c r="M3" s="2"/>
    </row>
    <row r="4">
      <c r="A4" s="3" t="s">
        <v>5</v>
      </c>
      <c r="B4" s="2"/>
      <c r="C4" s="4">
        <v>350000.0</v>
      </c>
      <c r="D4" s="2"/>
      <c r="H4" s="3" t="s">
        <v>6</v>
      </c>
      <c r="I4" s="2"/>
      <c r="J4" s="3" t="s">
        <v>7</v>
      </c>
      <c r="K4" s="2"/>
      <c r="L4" s="5">
        <f>1/30</f>
        <v>0.03333333333</v>
      </c>
      <c r="M4" s="2"/>
    </row>
    <row r="5">
      <c r="A5" s="3" t="s">
        <v>8</v>
      </c>
      <c r="B5" s="2"/>
      <c r="C5" s="4">
        <v>150000.0</v>
      </c>
      <c r="D5" s="2"/>
      <c r="H5" s="3" t="s">
        <v>9</v>
      </c>
      <c r="I5" s="2"/>
      <c r="J5" s="3" t="s">
        <v>10</v>
      </c>
      <c r="K5" s="2"/>
      <c r="L5" s="5">
        <f>1/20</f>
        <v>0.05</v>
      </c>
      <c r="M5" s="2"/>
    </row>
    <row r="6">
      <c r="A6" s="3" t="s">
        <v>11</v>
      </c>
      <c r="B6" s="2"/>
      <c r="C6" s="4">
        <v>100000.0</v>
      </c>
      <c r="D6" s="2"/>
      <c r="H6" s="3" t="s">
        <v>12</v>
      </c>
      <c r="I6" s="2"/>
      <c r="J6" s="3" t="s">
        <v>13</v>
      </c>
      <c r="K6" s="2"/>
      <c r="L6" s="5">
        <f>1/50</f>
        <v>0.02</v>
      </c>
      <c r="M6" s="2"/>
    </row>
    <row r="7">
      <c r="A7" s="6"/>
      <c r="B7" s="6"/>
      <c r="C7" s="6"/>
      <c r="D7" s="6"/>
      <c r="H7" s="6"/>
      <c r="J7" s="6"/>
    </row>
    <row r="8">
      <c r="A8" s="6"/>
      <c r="B8" s="6"/>
      <c r="C8" s="6"/>
      <c r="D8" s="6"/>
      <c r="H8" s="6"/>
      <c r="J8" s="6"/>
    </row>
    <row r="9">
      <c r="A9" s="6"/>
      <c r="B9" s="6"/>
      <c r="C9" s="6"/>
      <c r="D9" s="6"/>
    </row>
    <row r="11">
      <c r="C11" s="7" t="s">
        <v>14</v>
      </c>
      <c r="D11" s="2"/>
      <c r="E11" s="1" t="s">
        <v>6</v>
      </c>
      <c r="F11" s="2"/>
      <c r="G11" s="1" t="s">
        <v>9</v>
      </c>
      <c r="H11" s="2"/>
      <c r="I11" s="1" t="s">
        <v>12</v>
      </c>
      <c r="J11" s="2"/>
    </row>
    <row r="12">
      <c r="C12" s="8" t="s">
        <v>5</v>
      </c>
      <c r="D12" s="2"/>
      <c r="E12" s="9">
        <v>0.8</v>
      </c>
      <c r="F12" s="2"/>
      <c r="G12" s="9">
        <v>0.6</v>
      </c>
      <c r="H12" s="2"/>
      <c r="I12" s="9">
        <v>0.55</v>
      </c>
      <c r="J12" s="2"/>
    </row>
    <row r="13">
      <c r="C13" s="8" t="s">
        <v>8</v>
      </c>
      <c r="D13" s="2"/>
      <c r="E13" s="9">
        <v>0.8</v>
      </c>
      <c r="F13" s="2"/>
      <c r="G13" s="9">
        <v>0.5</v>
      </c>
      <c r="H13" s="2"/>
      <c r="I13" s="9">
        <v>0.4</v>
      </c>
      <c r="J13" s="2"/>
    </row>
    <row r="14">
      <c r="C14" s="8" t="s">
        <v>11</v>
      </c>
      <c r="D14" s="2"/>
      <c r="E14" s="9">
        <v>0.95</v>
      </c>
      <c r="F14" s="2"/>
      <c r="G14" s="9">
        <v>0.6</v>
      </c>
      <c r="H14" s="2"/>
      <c r="I14" s="9">
        <v>0.35</v>
      </c>
      <c r="J14" s="2"/>
    </row>
    <row r="15">
      <c r="C15" s="6"/>
      <c r="E15" s="6"/>
    </row>
    <row r="16">
      <c r="C16" s="6"/>
      <c r="E16" s="6"/>
    </row>
    <row r="18">
      <c r="H18" s="7" t="s">
        <v>15</v>
      </c>
      <c r="I18" s="2"/>
      <c r="J18" s="1" t="s">
        <v>6</v>
      </c>
      <c r="K18" s="2"/>
      <c r="L18" s="1" t="s">
        <v>9</v>
      </c>
      <c r="M18" s="2"/>
      <c r="N18" s="1" t="s">
        <v>12</v>
      </c>
      <c r="O18" s="2"/>
    </row>
    <row r="19">
      <c r="H19" s="8" t="s">
        <v>5</v>
      </c>
      <c r="I19" s="2"/>
      <c r="J19" s="4">
        <f t="shared" ref="J19:J21" si="1">C4*E12</f>
        <v>280000</v>
      </c>
      <c r="K19" s="2"/>
      <c r="L19" s="4">
        <f t="shared" ref="L19:L21" si="2">C4*G12</f>
        <v>210000</v>
      </c>
      <c r="M19" s="2"/>
      <c r="N19" s="4">
        <f t="shared" ref="N19:N21" si="3">C4*I12</f>
        <v>192500</v>
      </c>
      <c r="O19" s="2"/>
    </row>
    <row r="20">
      <c r="H20" s="8" t="s">
        <v>8</v>
      </c>
      <c r="I20" s="2"/>
      <c r="J20" s="4">
        <f t="shared" si="1"/>
        <v>120000</v>
      </c>
      <c r="K20" s="2"/>
      <c r="L20" s="4">
        <f t="shared" si="2"/>
        <v>75000</v>
      </c>
      <c r="M20" s="2"/>
      <c r="N20" s="4">
        <f t="shared" si="3"/>
        <v>60000</v>
      </c>
      <c r="O20" s="2"/>
    </row>
    <row r="21">
      <c r="H21" s="8" t="s">
        <v>11</v>
      </c>
      <c r="I21" s="2"/>
      <c r="J21" s="4">
        <f t="shared" si="1"/>
        <v>95000</v>
      </c>
      <c r="K21" s="2"/>
      <c r="L21" s="4">
        <f t="shared" si="2"/>
        <v>60000</v>
      </c>
      <c r="M21" s="2"/>
      <c r="N21" s="4">
        <f t="shared" si="3"/>
        <v>35000</v>
      </c>
      <c r="O21" s="2"/>
    </row>
    <row r="24">
      <c r="H24" s="7" t="s">
        <v>16</v>
      </c>
      <c r="I24" s="2"/>
      <c r="J24" s="1" t="s">
        <v>6</v>
      </c>
      <c r="K24" s="2"/>
      <c r="L24" s="1" t="s">
        <v>9</v>
      </c>
      <c r="M24" s="2"/>
      <c r="N24" s="1" t="s">
        <v>12</v>
      </c>
      <c r="O24" s="2"/>
    </row>
    <row r="25">
      <c r="H25" s="8" t="s">
        <v>5</v>
      </c>
      <c r="I25" s="2"/>
      <c r="J25" s="4">
        <f t="shared" ref="J25:J27" si="4">J19*L4</f>
        <v>9333.333333</v>
      </c>
      <c r="K25" s="2"/>
      <c r="L25" s="4">
        <f t="shared" ref="L25:L27" si="5">L19*L4</f>
        <v>7000</v>
      </c>
      <c r="M25" s="2"/>
      <c r="N25" s="4">
        <f t="shared" ref="N25:N27" si="6">N19*L4</f>
        <v>6416.666667</v>
      </c>
      <c r="O25" s="2"/>
    </row>
    <row r="26">
      <c r="H26" s="8" t="s">
        <v>8</v>
      </c>
      <c r="I26" s="2"/>
      <c r="J26" s="4">
        <f t="shared" si="4"/>
        <v>6000</v>
      </c>
      <c r="K26" s="2"/>
      <c r="L26" s="4">
        <f t="shared" si="5"/>
        <v>3750</v>
      </c>
      <c r="M26" s="2"/>
      <c r="N26" s="4">
        <f t="shared" si="6"/>
        <v>3000</v>
      </c>
      <c r="O26" s="2"/>
    </row>
    <row r="27">
      <c r="H27" s="8" t="s">
        <v>11</v>
      </c>
      <c r="I27" s="2"/>
      <c r="J27" s="4">
        <f t="shared" si="4"/>
        <v>1900</v>
      </c>
      <c r="K27" s="2"/>
      <c r="L27" s="4">
        <f t="shared" si="5"/>
        <v>1200</v>
      </c>
      <c r="M27" s="2"/>
      <c r="N27" s="4">
        <f t="shared" si="6"/>
        <v>700</v>
      </c>
      <c r="O27" s="2"/>
    </row>
  </sheetData>
  <mergeCells count="76">
    <mergeCell ref="L19:M19"/>
    <mergeCell ref="N19:O19"/>
    <mergeCell ref="L20:M20"/>
    <mergeCell ref="L21:M21"/>
    <mergeCell ref="L25:M25"/>
    <mergeCell ref="N25:O25"/>
    <mergeCell ref="N24:O24"/>
    <mergeCell ref="L24:M24"/>
    <mergeCell ref="N20:O20"/>
    <mergeCell ref="N21:O21"/>
    <mergeCell ref="L26:M26"/>
    <mergeCell ref="L27:M27"/>
    <mergeCell ref="N26:O26"/>
    <mergeCell ref="N27:O27"/>
    <mergeCell ref="H24:I24"/>
    <mergeCell ref="H21:I21"/>
    <mergeCell ref="H20:I20"/>
    <mergeCell ref="H25:I25"/>
    <mergeCell ref="H27:I27"/>
    <mergeCell ref="H26:I26"/>
    <mergeCell ref="J25:K25"/>
    <mergeCell ref="J24:K24"/>
    <mergeCell ref="J26:K26"/>
    <mergeCell ref="J27:K27"/>
    <mergeCell ref="J21:K21"/>
    <mergeCell ref="J18:K18"/>
    <mergeCell ref="L18:M18"/>
    <mergeCell ref="H7:I7"/>
    <mergeCell ref="H8:I8"/>
    <mergeCell ref="G12:H12"/>
    <mergeCell ref="G13:H13"/>
    <mergeCell ref="G14:H14"/>
    <mergeCell ref="H4:I4"/>
    <mergeCell ref="H3:I3"/>
    <mergeCell ref="J3:K3"/>
    <mergeCell ref="L3:M3"/>
    <mergeCell ref="L4:M4"/>
    <mergeCell ref="L5:M5"/>
    <mergeCell ref="L6:M6"/>
    <mergeCell ref="H5:I5"/>
    <mergeCell ref="H6:I6"/>
    <mergeCell ref="I11:J11"/>
    <mergeCell ref="I12:J12"/>
    <mergeCell ref="I13:J13"/>
    <mergeCell ref="I14:J14"/>
    <mergeCell ref="A4:B4"/>
    <mergeCell ref="C4:D4"/>
    <mergeCell ref="J4:K4"/>
    <mergeCell ref="J5:K5"/>
    <mergeCell ref="J6:K6"/>
    <mergeCell ref="J7:K7"/>
    <mergeCell ref="J8:K8"/>
    <mergeCell ref="C5:D5"/>
    <mergeCell ref="E15:F15"/>
    <mergeCell ref="E16:F16"/>
    <mergeCell ref="E14:F14"/>
    <mergeCell ref="C12:D12"/>
    <mergeCell ref="C11:D11"/>
    <mergeCell ref="C14:D14"/>
    <mergeCell ref="C15:D15"/>
    <mergeCell ref="C16:D16"/>
    <mergeCell ref="E11:F11"/>
    <mergeCell ref="E12:F12"/>
    <mergeCell ref="A3:B3"/>
    <mergeCell ref="C3:D3"/>
    <mergeCell ref="A5:B5"/>
    <mergeCell ref="A6:B6"/>
    <mergeCell ref="C6:D6"/>
    <mergeCell ref="C13:D13"/>
    <mergeCell ref="E13:F13"/>
    <mergeCell ref="G11:H11"/>
    <mergeCell ref="H19:I19"/>
    <mergeCell ref="J19:K19"/>
    <mergeCell ref="J20:K20"/>
    <mergeCell ref="H18:I18"/>
    <mergeCell ref="N18:O18"/>
  </mergeCells>
  <drawing r:id="rId1"/>
</worksheet>
</file>